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balta\Desktop\"/>
    </mc:Choice>
  </mc:AlternateContent>
  <xr:revisionPtr revIDLastSave="0" documentId="8_{D10225CA-1076-4889-A4D8-59D8D6AA5DBE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Beneficiários" sheetId="1" r:id="rId1"/>
    <sheet name="Resumo por Categoria" sheetId="2" r:id="rId2"/>
    <sheet name="Resumo por Instituição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I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B6" i="3" s="1"/>
  <c r="A6" i="1"/>
  <c r="A5" i="1"/>
  <c r="B5" i="3" s="1"/>
  <c r="B8" i="2" l="1"/>
  <c r="C6" i="2" s="1"/>
  <c r="B3" i="3"/>
  <c r="B4" i="3"/>
  <c r="C7" i="2" l="1"/>
  <c r="C3" i="2"/>
  <c r="C4" i="2"/>
  <c r="C5" i="2"/>
  <c r="B7" i="3"/>
  <c r="C4" i="3" l="1"/>
  <c r="C6" i="3"/>
  <c r="C5" i="3"/>
  <c r="C3" i="3"/>
</calcChain>
</file>

<file path=xl/sharedStrings.xml><?xml version="1.0" encoding="utf-8"?>
<sst xmlns="http://schemas.openxmlformats.org/spreadsheetml/2006/main" count="35" uniqueCount="30">
  <si>
    <t>CADASTRAMENTO URBANO — LUNDA SUL 2026</t>
  </si>
  <si>
    <t>FAS — Instituto de Desenvolvimento Local | Província da Lunda Sul</t>
  </si>
  <si>
    <t>Nº</t>
  </si>
  <si>
    <t>Nome do Beneficiário</t>
  </si>
  <si>
    <t>Município</t>
  </si>
  <si>
    <t>Bairro</t>
  </si>
  <si>
    <t>Documento</t>
  </si>
  <si>
    <t>Data de Nascimento</t>
  </si>
  <si>
    <t>Género</t>
  </si>
  <si>
    <t>Telefone</t>
  </si>
  <si>
    <t>Categoria</t>
  </si>
  <si>
    <t>Técnico</t>
  </si>
  <si>
    <t>TOTAL DE BENEFICIÁRIOS:</t>
  </si>
  <si>
    <t>beneficiários registados</t>
  </si>
  <si>
    <t>RESUMO POR CATEGORIA — LUNDA SUL 2026</t>
  </si>
  <si>
    <t>Total</t>
  </si>
  <si>
    <t>%</t>
  </si>
  <si>
    <t>Idoso</t>
  </si>
  <si>
    <t>Pessoa com deficiência</t>
  </si>
  <si>
    <t>Pessoa com albinismo</t>
  </si>
  <si>
    <t>Pessoa com doença crónica</t>
  </si>
  <si>
    <t>Criança e jovem com necessidades especiais</t>
  </si>
  <si>
    <t>TOTAL</t>
  </si>
  <si>
    <t>100%</t>
  </si>
  <si>
    <t>RESUMO POR INSTITUIÇÃO — LUNDA SUL 2026</t>
  </si>
  <si>
    <t>Instituição</t>
  </si>
  <si>
    <t>Direção Municipal de Ação Social</t>
  </si>
  <si>
    <t>Associação de Pessoas com Deficiências</t>
  </si>
  <si>
    <t>Associação de Pessoas com Albinismo</t>
  </si>
  <si>
    <t>Saúde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</si>
</sst>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1F4E79"/>
      <name val="Arial"/>
    </font>
    <font>
      <b/>
      <sz val="11"/>
      <color rgb="FF1F4E79"/>
      <name val="Arial"/>
    </font>
    <font>
      <sz val="10"/>
      <color rgb="FF1F4E79"/>
      <name val="Arial"/>
    </font>
    <font>
      <b/>
      <sz val="13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6" borderId="0" xfId="0" applyFont="1" applyFill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9" fontId="4" fillId="4" borderId="1" xfId="0" applyNumberFormat="1" applyFont="1" applyFill="1" applyBorder="1" applyAlignment="1">
      <alignment horizont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9" fontId="4" fillId="5" borderId="1" xfId="0" applyNumberFormat="1" applyFont="1" applyFill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5" fillId="6" borderId="0" xfId="0" applyFont="1" applyFill="1" applyAlignment="1">
      <alignment horizontal="righ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F4" sqref="F4"/>
    </sheetView>
  </sheetViews>
  <sheetFormatPr defaultRowHeight="14.4" x14ac:dyDescent="0.3"/>
  <cols>
    <col min="1" max="1" width="5" customWidth="1"/>
    <col min="2" max="2" width="30" customWidth="1"/>
    <col min="3" max="4" width="15" customWidth="1"/>
    <col min="5" max="5" width="18" customWidth="1"/>
    <col min="6" max="6" width="20" customWidth="1"/>
    <col min="7" max="7" width="12" customWidth="1"/>
    <col min="8" max="8" width="15" customWidth="1"/>
    <col min="9" max="9" width="30" customWidth="1"/>
    <col min="10" max="10" width="25" customWidth="1"/>
  </cols>
  <sheetData>
    <row r="1" spans="1:10" ht="34.950000000000003" customHeight="1" x14ac:dyDescent="0.3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9.95" customHeight="1" x14ac:dyDescent="0.3">
      <c r="A2" s="20" t="s">
        <v>1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7.95" customHeight="1" x14ac:dyDescent="0.3"/>
    <row r="4" spans="1:10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8" customHeight="1" x14ac:dyDescent="0.3">
      <c r="A5" s="2" t="str">
        <f t="shared" ref="A5:A24" si="0">IF(B5&lt;&gt;"",ROW()-4,"")</f>
        <v/>
      </c>
      <c r="B5" s="3"/>
      <c r="C5" s="3"/>
      <c r="D5" s="3"/>
      <c r="E5" s="3"/>
      <c r="F5" s="3"/>
      <c r="G5" s="3"/>
      <c r="H5" s="3"/>
      <c r="I5" s="3"/>
      <c r="J5" s="3"/>
    </row>
    <row r="6" spans="1:10" ht="18" customHeight="1" x14ac:dyDescent="0.3">
      <c r="A6" s="4" t="str">
        <f t="shared" si="0"/>
        <v/>
      </c>
      <c r="B6" s="5"/>
      <c r="C6" s="5"/>
      <c r="D6" s="5"/>
      <c r="E6" s="5"/>
      <c r="F6" s="5"/>
      <c r="G6" s="5"/>
      <c r="H6" s="5"/>
      <c r="I6" s="5"/>
      <c r="J6" s="5"/>
    </row>
    <row r="7" spans="1:10" ht="18" customHeight="1" x14ac:dyDescent="0.3">
      <c r="A7" s="2" t="str">
        <f t="shared" si="0"/>
        <v/>
      </c>
      <c r="B7" s="3"/>
      <c r="C7" s="3"/>
      <c r="D7" s="3"/>
      <c r="E7" s="3"/>
      <c r="F7" s="3"/>
      <c r="G7" s="3"/>
      <c r="H7" s="3"/>
      <c r="I7" s="3"/>
      <c r="J7" s="3"/>
    </row>
    <row r="8" spans="1:10" ht="18" customHeight="1" x14ac:dyDescent="0.3">
      <c r="A8" s="4" t="str">
        <f t="shared" si="0"/>
        <v/>
      </c>
      <c r="B8" s="5"/>
      <c r="C8" s="5"/>
      <c r="D8" s="5"/>
      <c r="E8" s="5"/>
      <c r="F8" s="5"/>
      <c r="G8" s="5"/>
      <c r="H8" s="5"/>
      <c r="I8" s="5"/>
      <c r="J8" s="5"/>
    </row>
    <row r="9" spans="1:10" ht="18" customHeight="1" x14ac:dyDescent="0.3">
      <c r="A9" s="2" t="str">
        <f t="shared" si="0"/>
        <v/>
      </c>
      <c r="B9" s="3"/>
      <c r="C9" s="3"/>
      <c r="D9" s="3"/>
      <c r="E9" s="3"/>
      <c r="F9" s="3"/>
      <c r="G9" s="3"/>
      <c r="H9" s="3"/>
      <c r="I9" s="3"/>
      <c r="J9" s="3"/>
    </row>
    <row r="10" spans="1:10" ht="18" customHeight="1" x14ac:dyDescent="0.3">
      <c r="A10" s="4" t="str">
        <f t="shared" si="0"/>
        <v/>
      </c>
      <c r="B10" s="5"/>
      <c r="C10" s="5"/>
      <c r="D10" s="5"/>
      <c r="E10" s="5"/>
      <c r="F10" s="5"/>
      <c r="G10" s="5"/>
      <c r="H10" s="5"/>
      <c r="I10" s="5"/>
      <c r="J10" s="5"/>
    </row>
    <row r="11" spans="1:10" ht="18" customHeight="1" x14ac:dyDescent="0.3">
      <c r="A11" s="2" t="str">
        <f t="shared" si="0"/>
        <v/>
      </c>
      <c r="B11" s="3"/>
      <c r="C11" s="3"/>
      <c r="D11" s="3"/>
      <c r="E11" s="3"/>
      <c r="F11" s="3"/>
      <c r="G11" s="3"/>
      <c r="H11" s="3"/>
      <c r="I11" s="3"/>
      <c r="J11" s="3"/>
    </row>
    <row r="12" spans="1:10" ht="18" customHeight="1" x14ac:dyDescent="0.3">
      <c r="A12" s="4" t="str">
        <f t="shared" si="0"/>
        <v/>
      </c>
      <c r="B12" s="5"/>
      <c r="C12" s="5"/>
      <c r="D12" s="5"/>
      <c r="E12" s="5"/>
      <c r="F12" s="5"/>
      <c r="G12" s="5"/>
      <c r="H12" s="5"/>
      <c r="I12" s="5"/>
      <c r="J12" s="5"/>
    </row>
    <row r="13" spans="1:10" ht="18" customHeight="1" x14ac:dyDescent="0.3">
      <c r="A13" s="2" t="str">
        <f t="shared" si="0"/>
        <v/>
      </c>
      <c r="B13" s="3"/>
      <c r="C13" s="3"/>
      <c r="D13" s="3"/>
      <c r="E13" s="3"/>
      <c r="F13" s="3"/>
      <c r="G13" s="3"/>
      <c r="H13" s="3"/>
      <c r="I13" s="3"/>
      <c r="J13" s="3"/>
    </row>
    <row r="14" spans="1:10" ht="18" customHeight="1" x14ac:dyDescent="0.3">
      <c r="A14" s="4" t="str">
        <f t="shared" si="0"/>
        <v/>
      </c>
      <c r="B14" s="5"/>
      <c r="C14" s="5"/>
      <c r="D14" s="5"/>
      <c r="E14" s="5"/>
      <c r="F14" s="5"/>
      <c r="G14" s="5"/>
      <c r="H14" s="5"/>
      <c r="I14" s="5"/>
      <c r="J14" s="5"/>
    </row>
    <row r="15" spans="1:10" ht="18" customHeight="1" x14ac:dyDescent="0.3">
      <c r="A15" s="2" t="str">
        <f t="shared" si="0"/>
        <v/>
      </c>
      <c r="B15" s="3"/>
      <c r="C15" s="3"/>
      <c r="D15" s="3"/>
      <c r="E15" s="3"/>
      <c r="F15" s="3"/>
      <c r="G15" s="3"/>
      <c r="H15" s="3"/>
      <c r="I15" s="3"/>
      <c r="J15" s="3"/>
    </row>
    <row r="16" spans="1:10" ht="18" customHeight="1" x14ac:dyDescent="0.3">
      <c r="A16" s="4" t="str">
        <f t="shared" si="0"/>
        <v/>
      </c>
      <c r="B16" s="5"/>
      <c r="C16" s="5"/>
      <c r="D16" s="5"/>
      <c r="E16" s="5"/>
      <c r="F16" s="5"/>
      <c r="G16" s="5"/>
      <c r="H16" s="5"/>
      <c r="I16" s="5"/>
      <c r="J16" s="5"/>
    </row>
    <row r="17" spans="1:10" ht="18" customHeight="1" x14ac:dyDescent="0.3">
      <c r="A17" s="2" t="str">
        <f t="shared" si="0"/>
        <v/>
      </c>
      <c r="B17" s="3"/>
      <c r="C17" s="3"/>
      <c r="D17" s="3"/>
      <c r="E17" s="3"/>
      <c r="F17" s="3"/>
      <c r="G17" s="3"/>
      <c r="H17" s="3"/>
      <c r="I17" s="3"/>
      <c r="J17" s="3"/>
    </row>
    <row r="18" spans="1:10" ht="18" customHeight="1" x14ac:dyDescent="0.3">
      <c r="A18" s="4" t="str">
        <f t="shared" si="0"/>
        <v/>
      </c>
      <c r="B18" s="5"/>
      <c r="C18" s="5"/>
      <c r="D18" s="5"/>
      <c r="E18" s="5"/>
      <c r="F18" s="5"/>
      <c r="G18" s="5"/>
      <c r="H18" s="5"/>
      <c r="I18" s="5"/>
      <c r="J18" s="5"/>
    </row>
    <row r="19" spans="1:10" ht="18" customHeight="1" x14ac:dyDescent="0.3">
      <c r="A19" s="2" t="str">
        <f t="shared" si="0"/>
        <v/>
      </c>
      <c r="B19" s="3"/>
      <c r="C19" s="3"/>
      <c r="D19" s="3"/>
      <c r="E19" s="3"/>
      <c r="F19" s="3"/>
      <c r="G19" s="3"/>
      <c r="H19" s="3"/>
      <c r="I19" s="3"/>
      <c r="J19" s="3"/>
    </row>
    <row r="20" spans="1:10" ht="18" customHeight="1" x14ac:dyDescent="0.3">
      <c r="A20" s="4" t="str">
        <f t="shared" si="0"/>
        <v/>
      </c>
      <c r="B20" s="5"/>
      <c r="C20" s="5"/>
      <c r="D20" s="5"/>
      <c r="E20" s="5"/>
      <c r="F20" s="5"/>
      <c r="G20" s="5"/>
      <c r="H20" s="5"/>
      <c r="I20" s="5"/>
      <c r="J20" s="5"/>
    </row>
    <row r="21" spans="1:10" ht="18" customHeight="1" x14ac:dyDescent="0.3">
      <c r="A21" s="2" t="str">
        <f t="shared" si="0"/>
        <v/>
      </c>
      <c r="B21" s="3"/>
      <c r="C21" s="3"/>
      <c r="D21" s="3"/>
      <c r="E21" s="3"/>
      <c r="F21" s="3"/>
      <c r="G21" s="3"/>
      <c r="H21" s="3"/>
      <c r="I21" s="3"/>
      <c r="J21" s="3"/>
    </row>
    <row r="22" spans="1:10" ht="18" customHeight="1" x14ac:dyDescent="0.3">
      <c r="A22" s="4" t="str">
        <f t="shared" si="0"/>
        <v/>
      </c>
      <c r="B22" s="5"/>
      <c r="C22" s="5"/>
      <c r="D22" s="5"/>
      <c r="E22" s="5"/>
      <c r="F22" s="5"/>
      <c r="G22" s="5"/>
      <c r="H22" s="5"/>
      <c r="I22" s="5"/>
      <c r="J22" s="5"/>
    </row>
    <row r="23" spans="1:10" ht="18" customHeight="1" x14ac:dyDescent="0.3">
      <c r="A23" s="2" t="str">
        <f t="shared" si="0"/>
        <v/>
      </c>
      <c r="B23" s="3"/>
      <c r="C23" s="3"/>
      <c r="D23" s="3"/>
      <c r="E23" s="3"/>
      <c r="F23" s="3"/>
      <c r="G23" s="3"/>
      <c r="H23" s="3"/>
      <c r="I23" s="3"/>
      <c r="J23" s="3"/>
    </row>
    <row r="24" spans="1:10" ht="18" customHeight="1" x14ac:dyDescent="0.3">
      <c r="A24" s="4" t="str">
        <f t="shared" si="0"/>
        <v/>
      </c>
      <c r="B24" s="5"/>
      <c r="C24" s="5"/>
      <c r="D24" s="5"/>
      <c r="E24" s="5"/>
      <c r="F24" s="5"/>
      <c r="G24" s="5"/>
      <c r="H24" s="5"/>
      <c r="I24" s="5"/>
      <c r="J24" s="5"/>
    </row>
    <row r="25" spans="1:10" ht="22.05" customHeight="1" x14ac:dyDescent="0.3">
      <c r="A25" s="17" t="s">
        <v>12</v>
      </c>
      <c r="B25" s="18"/>
      <c r="C25" s="18"/>
      <c r="D25" s="18"/>
      <c r="E25" s="18"/>
      <c r="F25" s="18"/>
      <c r="G25" s="18"/>
      <c r="H25" s="18"/>
      <c r="I25" s="6">
        <f>COUNTA(B5:B24)</f>
        <v>0</v>
      </c>
      <c r="J25" s="7" t="s">
        <v>13</v>
      </c>
    </row>
  </sheetData>
  <mergeCells count="3">
    <mergeCell ref="A25:H25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1" width="38" customWidth="1"/>
    <col min="2" max="3" width="12" customWidth="1"/>
  </cols>
  <sheetData>
    <row r="1" spans="1:3" ht="30" customHeight="1" x14ac:dyDescent="0.3">
      <c r="A1" s="21" t="s">
        <v>14</v>
      </c>
      <c r="B1" s="18"/>
      <c r="C1" s="18"/>
    </row>
    <row r="2" spans="1:3" x14ac:dyDescent="0.3">
      <c r="A2" s="8" t="s">
        <v>10</v>
      </c>
      <c r="B2" s="8" t="s">
        <v>15</v>
      </c>
      <c r="C2" s="8" t="s">
        <v>16</v>
      </c>
    </row>
    <row r="3" spans="1:3" ht="18" customHeight="1" x14ac:dyDescent="0.3">
      <c r="A3" s="9" t="s">
        <v>17</v>
      </c>
      <c r="B3" s="10">
        <f>COUNTIF(Beneficiários!I5:I24,A3)</f>
        <v>0</v>
      </c>
      <c r="C3" s="11">
        <f>IF(B8&gt;0,B3/B8,0)</f>
        <v>0</v>
      </c>
    </row>
    <row r="4" spans="1:3" ht="18" customHeight="1" x14ac:dyDescent="0.3">
      <c r="A4" s="12" t="s">
        <v>18</v>
      </c>
      <c r="B4" s="13">
        <f>COUNTIF(Beneficiários!I5:I24,A4)</f>
        <v>0</v>
      </c>
      <c r="C4" s="14">
        <f>IF(B8&gt;0,B4/B8,0)</f>
        <v>0</v>
      </c>
    </row>
    <row r="5" spans="1:3" ht="18" customHeight="1" x14ac:dyDescent="0.3">
      <c r="A5" s="9" t="s">
        <v>19</v>
      </c>
      <c r="B5" s="10">
        <f>COUNTIF(Beneficiários!I5:I24,A5)</f>
        <v>0</v>
      </c>
      <c r="C5" s="11">
        <f>IF(B8&gt;0,B5/B8,0)</f>
        <v>0</v>
      </c>
    </row>
    <row r="6" spans="1:3" ht="18" customHeight="1" x14ac:dyDescent="0.3">
      <c r="A6" s="12" t="s">
        <v>20</v>
      </c>
      <c r="B6" s="13">
        <f>COUNTIF(Beneficiários!I5:I24,A6)</f>
        <v>0</v>
      </c>
      <c r="C6" s="14">
        <f>IF(B8&gt;0,B6/B8,0)</f>
        <v>0</v>
      </c>
    </row>
    <row r="7" spans="1:3" ht="18" customHeight="1" x14ac:dyDescent="0.3">
      <c r="A7" s="9" t="s">
        <v>21</v>
      </c>
      <c r="B7" s="10">
        <f>COUNTIF(Beneficiários!I5:I24,A7)</f>
        <v>0</v>
      </c>
      <c r="C7" s="11">
        <f>IF(B8&gt;0,B7/B8,0)</f>
        <v>0</v>
      </c>
    </row>
    <row r="8" spans="1:3" ht="22.05" customHeight="1" x14ac:dyDescent="0.3">
      <c r="A8" s="15" t="s">
        <v>22</v>
      </c>
      <c r="B8" s="16">
        <f>SUM(B3:B7)</f>
        <v>0</v>
      </c>
      <c r="C8" s="16" t="s">
        <v>23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.4" x14ac:dyDescent="0.3"/>
  <cols>
    <col min="1" max="1" width="38" customWidth="1"/>
    <col min="2" max="3" width="12" customWidth="1"/>
  </cols>
  <sheetData>
    <row r="1" spans="1:3" ht="30" customHeight="1" x14ac:dyDescent="0.3">
      <c r="A1" s="21" t="s">
        <v>24</v>
      </c>
      <c r="B1" s="18"/>
      <c r="C1" s="18"/>
    </row>
    <row r="2" spans="1:3" x14ac:dyDescent="0.3">
      <c r="A2" s="8" t="s">
        <v>25</v>
      </c>
      <c r="B2" s="8" t="s">
        <v>15</v>
      </c>
      <c r="C2" s="8" t="s">
        <v>16</v>
      </c>
    </row>
    <row r="3" spans="1:3" ht="18" customHeight="1" x14ac:dyDescent="0.3">
      <c r="A3" s="9" t="s">
        <v>26</v>
      </c>
      <c r="B3" s="10">
        <f>COUNTIF(Beneficiários!A5:A24,A3)</f>
        <v>0</v>
      </c>
      <c r="C3" s="11">
        <f>IF(B7&gt;0,B3/B7,0)</f>
        <v>0</v>
      </c>
    </row>
    <row r="4" spans="1:3" ht="18" customHeight="1" x14ac:dyDescent="0.3">
      <c r="A4" s="12" t="s">
        <v>27</v>
      </c>
      <c r="B4" s="13">
        <f>COUNTIF(Beneficiários!A5:A24,A4)</f>
        <v>0</v>
      </c>
      <c r="C4" s="14">
        <f>IF(B7&gt;0,B4/B7,0)</f>
        <v>0</v>
      </c>
    </row>
    <row r="5" spans="1:3" ht="18" customHeight="1" x14ac:dyDescent="0.3">
      <c r="A5" s="9" t="s">
        <v>28</v>
      </c>
      <c r="B5" s="10">
        <f>COUNTIF(Beneficiários!A5:A24,A5)</f>
        <v>0</v>
      </c>
      <c r="C5" s="11">
        <f>IF(B7&gt;0,B5/B7,0)</f>
        <v>0</v>
      </c>
    </row>
    <row r="6" spans="1:3" ht="18" customHeight="1" x14ac:dyDescent="0.3">
      <c r="A6" s="12" t="s">
        <v>29</v>
      </c>
      <c r="B6" s="13">
        <f>COUNTIF(Beneficiários!A5:A24,A6)</f>
        <v>0</v>
      </c>
      <c r="C6" s="14">
        <f>IF(B7&gt;0,B6/B7,0)</f>
        <v>0</v>
      </c>
    </row>
    <row r="7" spans="1:3" ht="22.05" customHeight="1" x14ac:dyDescent="0.3">
      <c r="A7" s="15" t="s">
        <v>22</v>
      </c>
      <c r="B7" s="16">
        <f>SUM(B3:B6)</f>
        <v>0</v>
      </c>
      <c r="C7" s="16" t="s">
        <v>23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Beneficiários</vt:lpstr>
      <vt:lpstr>Resumo por Categoria</vt:lpstr>
      <vt:lpstr>Resumo por Instituição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Baltazar Mariano</cp:lastModifiedBy>
  <dcterms:created xsi:type="dcterms:W3CDTF">2026-05-02T14:35:53Z</dcterms:created>
  <dcterms:modified xsi:type="dcterms:W3CDTF">2026-05-03T14:25:14Z</dcterms:modified>
</cp:coreProperties>
</file>